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Summary" sheetId="1" state="visible" r:id="rId1"/>
    <sheet xmlns:r="http://schemas.openxmlformats.org/officeDocument/2006/relationships" name="1_Guesstimate_Volume" sheetId="2" state="visible" r:id="rId2"/>
    <sheet xmlns:r="http://schemas.openxmlformats.org/officeDocument/2006/relationships" name="2_AI_Running_Cost" sheetId="3" state="visible" r:id="rId3"/>
    <sheet xmlns:r="http://schemas.openxmlformats.org/officeDocument/2006/relationships" name="3_Billing_&amp;_Margins" sheetId="4" state="visible" r:id="rId4"/>
    <sheet xmlns:r="http://schemas.openxmlformats.org/officeDocument/2006/relationships" name="4_Human_Savings_Comparison" sheetId="5" state="visible" r:id="rId5"/>
    <sheet xmlns:r="http://schemas.openxmlformats.org/officeDocument/2006/relationships" name="5_Monthly_Audit_&amp;_Ale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.00"/>
    <numFmt numFmtId="166" formatCode="$0.000000"/>
    <numFmt numFmtId="167" formatCode="₹#,##0.00"/>
    <numFmt numFmtId="168" formatCode="₹#,##0"/>
  </numFmts>
  <fonts count="6">
    <font>
      <name val="Calibri"/>
      <family val="2"/>
      <color theme="1"/>
      <sz val="11"/>
      <scheme val="minor"/>
    </font>
    <font>
      <b val="1"/>
      <color rgb="000B5D4B"/>
      <sz val="14"/>
    </font>
    <font>
      <i val="1"/>
      <color rgb="00666666"/>
      <sz val="9"/>
    </font>
    <font>
      <b val="1"/>
    </font>
    <font>
      <b val="1"/>
      <color rgb="001F386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0B5D4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3" fillId="3" borderId="0" pivotButton="0" quotePrefix="0" xfId="0"/>
    <xf numFmtId="164" fontId="3" fillId="3" borderId="0" pivotButton="0" quotePrefix="0" xfId="0"/>
    <xf numFmtId="167" fontId="3" fillId="3" borderId="0" pivotButton="0" quotePrefix="0" xfId="0"/>
    <xf numFmtId="168" fontId="3" fillId="3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5" fillId="4" borderId="0" pivotButton="0" quotePrefix="0" xfId="0"/>
    <xf numFmtId="3" fontId="4" fillId="2" borderId="1" pivotButton="0" quotePrefix="0" xfId="0"/>
    <xf numFmtId="0" fontId="2" fillId="0" borderId="0" applyAlignment="1" pivotButton="0" quotePrefix="0" xfId="0">
      <alignment wrapText="1"/>
    </xf>
    <xf numFmtId="164" fontId="4" fillId="2" borderId="1" pivotButton="0" quotePrefix="0" xfId="0"/>
    <xf numFmtId="3" fontId="0" fillId="0" borderId="1" pivotButton="0" quotePrefix="0" xfId="0"/>
    <xf numFmtId="4" fontId="4" fillId="2" borderId="1" pivotButton="0" quotePrefix="0" xfId="0"/>
    <xf numFmtId="0" fontId="3" fillId="3" borderId="0" pivotButton="0" quotePrefix="0" xfId="0"/>
    <xf numFmtId="3" fontId="3" fillId="3" borderId="1" pivotButton="0" quotePrefix="0" xfId="0"/>
    <xf numFmtId="164" fontId="0" fillId="0" borderId="1" pivotButton="0" quotePrefix="0" xfId="0"/>
    <xf numFmtId="164" fontId="3" fillId="3" borderId="1" pivotButton="0" quotePrefix="0" xfId="0"/>
    <xf numFmtId="165" fontId="4" fillId="2" borderId="1" pivotButton="0" quotePrefix="0" xfId="0"/>
    <xf numFmtId="166" fontId="0" fillId="0" borderId="1" pivotButton="0" quotePrefix="0" xfId="0"/>
    <xf numFmtId="167" fontId="3" fillId="3" borderId="1" pivotButton="0" quotePrefix="0" xfId="0"/>
    <xf numFmtId="165" fontId="0" fillId="0" borderId="1" pivotButton="0" quotePrefix="0" xfId="0"/>
    <xf numFmtId="168" fontId="3" fillId="3" borderId="1" pivotButton="0" quotePrefix="0" xfId="0"/>
    <xf numFmtId="167" fontId="0" fillId="0" borderId="1" pivotButton="0" quotePrefix="0" xfId="0"/>
    <xf numFmtId="0" fontId="0" fillId="0" borderId="0" applyAlignment="1" pivotButton="0" quotePrefix="0" xfId="0">
      <alignment wrapText="1"/>
    </xf>
    <xf numFmtId="168" fontId="4" fillId="2" borderId="1" pivotButton="0" quotePrefix="0" xfId="0"/>
    <xf numFmtId="168" fontId="0" fillId="0" borderId="1" pivotButton="0" quotePrefix="0" xfId="0"/>
    <xf numFmtId="4" fontId="0" fillId="0" borderId="1" pivotButton="0" quotePrefix="0" xfId="0"/>
    <xf numFmtId="167" fontId="0" fillId="0" borderId="0" pivotButton="0" quotePrefix="0" xfId="0"/>
    <xf numFmtId="167" fontId="4" fillId="2" borderId="0" pivotButton="0" quotePrefix="0" xfId="0"/>
    <xf numFmtId="168" fontId="0" fillId="0" borderId="0" pivotButton="0" quotePrefix="0" xfId="0"/>
    <xf numFmtId="168" fontId="4" fillId="2" borderId="0" pivotButton="0" quotePrefix="0" xfId="0"/>
    <xf numFmtId="164" fontId="4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4" customWidth="1" min="3" max="3"/>
  </cols>
  <sheetData>
    <row r="1">
      <c r="A1" s="1" t="inlineStr">
        <is>
          <t>Cheerio Co-Pilot - Numbers at a glance</t>
        </is>
      </c>
    </row>
    <row r="2">
      <c r="A2" s="2" t="inlineStr">
        <is>
          <t>All values below are live formulas linked to tabs 1-5. Change a blue cell anywhere and this updates.</t>
        </is>
      </c>
    </row>
    <row r="4">
      <c r="A4" t="inlineStr">
        <is>
          <t>Monthly support queries</t>
        </is>
      </c>
      <c r="B4" s="3">
        <f>'1_Guesstimate_Volume'!B16</f>
        <v/>
      </c>
      <c r="C4" t="inlineStr">
        <is>
          <t>queries</t>
        </is>
      </c>
    </row>
    <row r="5">
      <c r="A5" t="inlineStr">
        <is>
          <t>Resolved without a human</t>
        </is>
      </c>
      <c r="B5" s="3">
        <f>'1_Guesstimate_Volume'!B40</f>
        <v/>
      </c>
      <c r="C5" t="inlineStr">
        <is>
          <t>queries</t>
        </is>
      </c>
    </row>
    <row r="6">
      <c r="A6" t="inlineStr">
        <is>
          <t>AI self-serve rate</t>
        </is>
      </c>
      <c r="B6" s="4">
        <f>'1_Guesstimate_Volume'!B36</f>
        <v/>
      </c>
      <c r="C6" t="inlineStr"/>
    </row>
    <row r="7">
      <c r="A7" t="inlineStr">
        <is>
          <t>Still need a human</t>
        </is>
      </c>
      <c r="B7" s="3">
        <f>'1_Guesstimate_Volume'!B41</f>
        <v/>
      </c>
      <c r="C7" t="inlineStr">
        <is>
          <t>queries</t>
        </is>
      </c>
    </row>
    <row r="8">
      <c r="A8" t="inlineStr">
        <is>
          <t>LLM cost per query</t>
        </is>
      </c>
      <c r="B8" s="5">
        <f>'2_AI_Running_Cost'!B27</f>
        <v/>
      </c>
      <c r="C8" t="inlineStr">
        <is>
          <t>₹</t>
        </is>
      </c>
    </row>
    <row r="9">
      <c r="A9" t="inlineStr">
        <is>
          <t>All-in cost per AI-resolved query</t>
        </is>
      </c>
      <c r="B9" s="5">
        <f>'2_AI_Running_Cost'!B36</f>
        <v/>
      </c>
      <c r="C9" t="inlineStr">
        <is>
          <t>₹</t>
        </is>
      </c>
    </row>
    <row r="10">
      <c r="A10" t="inlineStr">
        <is>
          <t>Monthly AI running cost</t>
        </is>
      </c>
      <c r="B10" s="6">
        <f>'2_AI_Running_Cost'!B34</f>
        <v/>
      </c>
      <c r="C10" t="inlineStr">
        <is>
          <t>₹/mo</t>
        </is>
      </c>
    </row>
    <row r="11">
      <c r="A11" t="inlineStr">
        <is>
          <t>Pro add-on revenue</t>
        </is>
      </c>
      <c r="B11" s="6">
        <f>'3_Billing_&amp;_Margins'!B18</f>
        <v/>
      </c>
      <c r="C11" t="inlineStr">
        <is>
          <t>₹/mo</t>
        </is>
      </c>
    </row>
    <row r="12">
      <c r="A12" t="inlineStr">
        <is>
          <t>Pro add-on gross margin</t>
        </is>
      </c>
      <c r="B12" s="4">
        <f>'3_Billing_&amp;_Margins'!B24</f>
        <v/>
      </c>
      <c r="C12" t="inlineStr"/>
    </row>
    <row r="13">
      <c r="A13" t="inlineStr">
        <is>
          <t>Baseline human support cost</t>
        </is>
      </c>
      <c r="B13" s="6">
        <f>'4_Human_Savings_Comparison'!B11</f>
        <v/>
      </c>
      <c r="C13" t="inlineStr">
        <is>
          <t>₹/mo</t>
        </is>
      </c>
    </row>
    <row r="14">
      <c r="A14" t="inlineStr">
        <is>
          <t>New cost (humans + AI)</t>
        </is>
      </c>
      <c r="B14" s="6">
        <f>'4_Human_Savings_Comparison'!B21</f>
        <v/>
      </c>
      <c r="C14" t="inlineStr">
        <is>
          <t>₹/mo</t>
        </is>
      </c>
    </row>
    <row r="15">
      <c r="A15" t="inlineStr">
        <is>
          <t>Net monthly savings</t>
        </is>
      </c>
      <c r="B15" s="6">
        <f>'4_Human_Savings_Comparison'!B24</f>
        <v/>
      </c>
      <c r="C15" t="inlineStr">
        <is>
          <t>₹/mo</t>
        </is>
      </c>
    </row>
    <row r="16">
      <c r="A16" t="inlineStr">
        <is>
          <t>Net annual savings</t>
        </is>
      </c>
      <c r="B16" s="6">
        <f>'4_Human_Savings_Comparison'!B25</f>
        <v/>
      </c>
      <c r="C16" t="inlineStr">
        <is>
          <t>₹/yr</t>
        </is>
      </c>
    </row>
    <row r="17">
      <c r="A17" t="inlineStr">
        <is>
          <t>Cost reduction</t>
        </is>
      </c>
      <c r="B17" s="4">
        <f>'4_Human_Savings_Comparison'!B26</f>
        <v/>
      </c>
      <c r="C17" t="inlineStr"/>
    </row>
    <row r="18">
      <c r="A18" t="inlineStr">
        <is>
          <t>Support agents: before -&gt; after</t>
        </is>
      </c>
      <c r="B18" s="3">
        <f>'4_Human_Savings_Comparison'!B9&amp;" -&gt; "&amp;'4_Human_Savings_Comparison'!B18</f>
        <v/>
      </c>
      <c r="C18" t="inlineStr">
        <is>
          <t>agents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4" customWidth="1" min="3" max="3"/>
    <col width="70" customWidth="1" min="4" max="4"/>
    <col width="14" customWidth="1" min="5" max="5"/>
    <col width="22" customWidth="1" min="6" max="6"/>
  </cols>
  <sheetData>
    <row r="1">
      <c r="A1" s="1" t="inlineStr">
        <is>
          <t>1. Guesstimate - Monthly support volume</t>
        </is>
      </c>
      <c r="F1" s="7" t="inlineStr">
        <is>
          <t>Legend</t>
        </is>
      </c>
    </row>
    <row r="2">
      <c r="A2" s="2" t="inlineStr">
        <is>
          <t>How many support queries 5,000 businesses raise per month, and how many Cheerio Co-Pilot resolves.</t>
        </is>
      </c>
      <c r="F2" s="8" t="inlineStr">
        <is>
          <t>Assumption (edit)</t>
        </is>
      </c>
    </row>
    <row r="3">
      <c r="F3" t="inlineStr">
        <is>
          <t>Formula (do not edit)</t>
        </is>
      </c>
    </row>
    <row r="4">
      <c r="F4" s="9" t="inlineStr">
        <is>
          <t>Key output</t>
        </is>
      </c>
    </row>
    <row r="5">
      <c r="A5" s="10" t="inlineStr">
        <is>
          <t>Customer base</t>
        </is>
      </c>
      <c r="B5" s="10" t="inlineStr">
        <is>
          <t>Value</t>
        </is>
      </c>
      <c r="C5" s="10" t="inlineStr">
        <is>
          <t>Unit</t>
        </is>
      </c>
      <c r="D5" s="10" t="inlineStr">
        <is>
          <t>Logic / Source</t>
        </is>
      </c>
    </row>
    <row r="6">
      <c r="A6" t="inlineStr">
        <is>
          <t>Active businesses</t>
        </is>
      </c>
      <c r="B6" s="11" t="n">
        <v>5000</v>
      </c>
      <c r="C6" t="inlineStr">
        <is>
          <t>businesses</t>
        </is>
      </c>
      <c r="D6" s="12" t="inlineStr">
        <is>
          <t>Given in brief</t>
        </is>
      </c>
    </row>
    <row r="7">
      <c r="A7" t="inlineStr">
        <is>
          <t>Share onboarding this month (new / setting up)</t>
        </is>
      </c>
      <c r="B7" s="13" t="n">
        <v>0.15</v>
      </c>
      <c r="C7" t="inlineStr">
        <is>
          <t>%</t>
        </is>
      </c>
      <c r="D7" s="12" t="inlineStr">
        <is>
          <t>Assumption: ~15% of base is in first 30 days or re-configuring</t>
        </is>
      </c>
    </row>
    <row r="8">
      <c r="A8" t="inlineStr">
        <is>
          <t>Onboarding businesses</t>
        </is>
      </c>
      <c r="B8" s="14">
        <f>B6*B7</f>
        <v/>
      </c>
      <c r="C8" t="inlineStr">
        <is>
          <t>businesses</t>
        </is>
      </c>
      <c r="D8" s="12" t="inlineStr">
        <is>
          <t>Calc: Active x Onboarding %</t>
        </is>
      </c>
    </row>
    <row r="9">
      <c r="A9" t="inlineStr">
        <is>
          <t>Existing active businesses</t>
        </is>
      </c>
      <c r="B9" s="14">
        <f>B6-B8</f>
        <v/>
      </c>
      <c r="C9" t="inlineStr">
        <is>
          <t>businesses</t>
        </is>
      </c>
      <c r="D9" s="12" t="inlineStr">
        <is>
          <t>Calc: Active - Onboarding</t>
        </is>
      </c>
    </row>
    <row r="11">
      <c r="A11" s="10" t="inlineStr">
        <is>
          <t>Tickets per business</t>
        </is>
      </c>
      <c r="B11" s="10" t="inlineStr">
        <is>
          <t>Value</t>
        </is>
      </c>
      <c r="C11" s="10" t="inlineStr">
        <is>
          <t>Unit</t>
        </is>
      </c>
      <c r="D11" s="10" t="inlineStr">
        <is>
          <t>Logic / Source</t>
        </is>
      </c>
    </row>
    <row r="12">
      <c r="A12" t="inlineStr">
        <is>
          <t>Setup queries per onboarding business / month</t>
        </is>
      </c>
      <c r="B12" s="15" t="n">
        <v>4.2</v>
      </c>
      <c r="C12" t="inlineStr">
        <is>
          <t>queries</t>
        </is>
      </c>
      <c r="D12" s="12" t="inlineStr">
        <is>
          <t>Assumption: WABA setup, first templates, first flow, one integration</t>
        </is>
      </c>
    </row>
    <row r="13">
      <c r="A13" t="inlineStr">
        <is>
          <t>Queries per existing business / month</t>
        </is>
      </c>
      <c r="B13" s="15" t="n">
        <v>1.4</v>
      </c>
      <c r="C13" t="inlineStr">
        <is>
          <t>queries</t>
        </is>
      </c>
      <c r="D13" s="12" t="inlineStr">
        <is>
          <t>Assumption: template rejections, delivery drops, flow edits</t>
        </is>
      </c>
    </row>
    <row r="14">
      <c r="A14" t="inlineStr">
        <is>
          <t>Queries from onboarding businesses</t>
        </is>
      </c>
      <c r="B14" s="14">
        <f>B8*B12</f>
        <v/>
      </c>
      <c r="C14" t="inlineStr">
        <is>
          <t>queries/mo</t>
        </is>
      </c>
      <c r="D14" s="12" t="inlineStr">
        <is>
          <t>Calc: Onboarding biz x rate</t>
        </is>
      </c>
    </row>
    <row r="15">
      <c r="A15" t="inlineStr">
        <is>
          <t>Queries from existing businesses</t>
        </is>
      </c>
      <c r="B15" s="14">
        <f>B9*B13</f>
        <v/>
      </c>
      <c r="C15" t="inlineStr">
        <is>
          <t>queries/mo</t>
        </is>
      </c>
      <c r="D15" s="12" t="inlineStr">
        <is>
          <t>Calc: Existing biz x rate</t>
        </is>
      </c>
    </row>
    <row r="16">
      <c r="A16" s="16" t="inlineStr">
        <is>
          <t>TOTAL monthly support queries</t>
        </is>
      </c>
      <c r="B16" s="17">
        <f>B14+B15</f>
        <v/>
      </c>
      <c r="C16" t="inlineStr">
        <is>
          <t>queries/mo</t>
        </is>
      </c>
      <c r="D16" s="12" t="inlineStr">
        <is>
          <t>Calc: Sum of both segments</t>
        </is>
      </c>
    </row>
    <row r="18">
      <c r="A18" s="10" t="inlineStr">
        <is>
          <t>Query mix (top issues)</t>
        </is>
      </c>
      <c r="B18" s="10" t="inlineStr">
        <is>
          <t>Value</t>
        </is>
      </c>
      <c r="C18" s="10" t="inlineStr">
        <is>
          <t>Unit</t>
        </is>
      </c>
      <c r="D18" s="10" t="inlineStr">
        <is>
          <t>Logic / Source</t>
        </is>
      </c>
    </row>
    <row r="19">
      <c r="A19" t="inlineStr">
        <is>
          <t>WhatsApp template rejections &amp; variable formatting - share</t>
        </is>
      </c>
      <c r="B19" s="13" t="n">
        <v>0.28</v>
      </c>
      <c r="C19" t="inlineStr">
        <is>
          <t>%</t>
        </is>
      </c>
      <c r="D19" s="12" t="inlineStr">
        <is>
          <t>Assumption (validate against helpdesk tags)</t>
        </is>
      </c>
    </row>
    <row r="20">
      <c r="A20" t="inlineStr">
        <is>
          <t>Chatbot flow builder - broken nodes &amp; limits - share</t>
        </is>
      </c>
      <c r="B20" s="13" t="n">
        <v>0.22</v>
      </c>
      <c r="C20" t="inlineStr">
        <is>
          <t>%</t>
        </is>
      </c>
      <c r="D20" s="12" t="inlineStr">
        <is>
          <t>Assumption (validate against helpdesk tags)</t>
        </is>
      </c>
    </row>
    <row r="21">
      <c r="A21" t="inlineStr">
        <is>
          <t>WABA onboarding &amp; number verification - share</t>
        </is>
      </c>
      <c r="B21" s="13" t="n">
        <v>0.18</v>
      </c>
      <c r="C21" t="inlineStr">
        <is>
          <t>%</t>
        </is>
      </c>
      <c r="D21" s="12" t="inlineStr">
        <is>
          <t>Assumption (validate against helpdesk tags)</t>
        </is>
      </c>
    </row>
    <row r="22">
      <c r="A22" t="inlineStr">
        <is>
          <t>Campaign delivery - 24h window &amp; tier limits - share</t>
        </is>
      </c>
      <c r="B22" s="13" t="n">
        <v>0.17</v>
      </c>
      <c r="C22" t="inlineStr">
        <is>
          <t>%</t>
        </is>
      </c>
      <c r="D22" s="12" t="inlineStr">
        <is>
          <t>Assumption (validate against helpdesk tags)</t>
        </is>
      </c>
    </row>
    <row r="23">
      <c r="A23" t="inlineStr">
        <is>
          <t>Shopify / Zoho / webhook integration sync - share</t>
        </is>
      </c>
      <c r="B23" s="13" t="n">
        <v>0.1</v>
      </c>
      <c r="C23" t="inlineStr">
        <is>
          <t>%</t>
        </is>
      </c>
      <c r="D23" s="12" t="inlineStr">
        <is>
          <t>Assumption (validate against helpdesk tags)</t>
        </is>
      </c>
    </row>
    <row r="24">
      <c r="A24" t="inlineStr">
        <is>
          <t>Billing, account bans, custom enterprise - share</t>
        </is>
      </c>
      <c r="B24" s="13" t="n">
        <v>0.05</v>
      </c>
      <c r="C24" t="inlineStr">
        <is>
          <t>%</t>
        </is>
      </c>
      <c r="D24" s="12" t="inlineStr">
        <is>
          <t>Assumption (validate against helpdesk tags)</t>
        </is>
      </c>
    </row>
    <row r="25">
      <c r="A25" t="inlineStr">
        <is>
          <t>Mix check (must = 100%)</t>
        </is>
      </c>
      <c r="B25" s="18">
        <f>SUM(B19:B24)</f>
        <v/>
      </c>
      <c r="C25" t="inlineStr">
        <is>
          <t>%</t>
        </is>
      </c>
      <c r="D25" s="12" t="inlineStr">
        <is>
          <t>Sanity check</t>
        </is>
      </c>
    </row>
    <row r="26">
      <c r="A26" t="inlineStr">
        <is>
          <t>WhatsApp template rejections &amp; variable formatting - queries</t>
        </is>
      </c>
      <c r="B26" s="14">
        <f>B16*B19</f>
        <v/>
      </c>
      <c r="C26" t="inlineStr">
        <is>
          <t>queries/mo</t>
        </is>
      </c>
      <c r="D26" s="12" t="inlineStr">
        <is>
          <t>Calc: Total x share</t>
        </is>
      </c>
    </row>
    <row r="27">
      <c r="A27" t="inlineStr">
        <is>
          <t>Chatbot flow builder - broken nodes &amp; limits - queries</t>
        </is>
      </c>
      <c r="B27" s="14">
        <f>B16*B20</f>
        <v/>
      </c>
      <c r="C27" t="inlineStr">
        <is>
          <t>queries/mo</t>
        </is>
      </c>
      <c r="D27" s="12" t="inlineStr">
        <is>
          <t>Calc: Total x share</t>
        </is>
      </c>
    </row>
    <row r="28">
      <c r="A28" t="inlineStr">
        <is>
          <t>WABA onboarding &amp; number verification - queries</t>
        </is>
      </c>
      <c r="B28" s="14">
        <f>B16*B21</f>
        <v/>
      </c>
      <c r="C28" t="inlineStr">
        <is>
          <t>queries/mo</t>
        </is>
      </c>
      <c r="D28" s="12" t="inlineStr">
        <is>
          <t>Calc: Total x share</t>
        </is>
      </c>
    </row>
    <row r="29">
      <c r="A29" t="inlineStr">
        <is>
          <t>Campaign delivery - 24h window &amp; tier limits - queries</t>
        </is>
      </c>
      <c r="B29" s="14">
        <f>B16*B22</f>
        <v/>
      </c>
      <c r="C29" t="inlineStr">
        <is>
          <t>queries/mo</t>
        </is>
      </c>
      <c r="D29" s="12" t="inlineStr">
        <is>
          <t>Calc: Total x share</t>
        </is>
      </c>
    </row>
    <row r="30">
      <c r="A30" t="inlineStr">
        <is>
          <t>Shopify / Zoho / webhook integration sync - queries</t>
        </is>
      </c>
      <c r="B30" s="14">
        <f>B16*B23</f>
        <v/>
      </c>
      <c r="C30" t="inlineStr">
        <is>
          <t>queries/mo</t>
        </is>
      </c>
      <c r="D30" s="12" t="inlineStr">
        <is>
          <t>Calc: Total x share</t>
        </is>
      </c>
    </row>
    <row r="31">
      <c r="A31" t="inlineStr">
        <is>
          <t>Billing, account bans, custom enterprise - queries</t>
        </is>
      </c>
      <c r="B31" s="14">
        <f>B16*B24</f>
        <v/>
      </c>
      <c r="C31" t="inlineStr">
        <is>
          <t>queries/mo</t>
        </is>
      </c>
      <c r="D31" s="12" t="inlineStr">
        <is>
          <t>Calc: Total x share</t>
        </is>
      </c>
    </row>
    <row r="33">
      <c r="A33" s="10" t="inlineStr">
        <is>
          <t>Resolution funnel with Cheerio Co-Pilot</t>
        </is>
      </c>
      <c r="B33" s="10" t="inlineStr">
        <is>
          <t>Value</t>
        </is>
      </c>
      <c r="C33" s="10" t="inlineStr">
        <is>
          <t>Unit</t>
        </is>
      </c>
      <c r="D33" s="10" t="inlineStr">
        <is>
          <t>Logic / Source</t>
        </is>
      </c>
    </row>
    <row r="34">
      <c r="A34" t="inlineStr">
        <is>
          <t>Tier 0 - proactive in-app auto-fix (before a ticket)</t>
        </is>
      </c>
      <c r="B34" s="13" t="n">
        <v>0.45</v>
      </c>
      <c r="C34" t="inlineStr">
        <is>
          <t>% of total</t>
        </is>
      </c>
      <c r="D34" s="12" t="inlineStr">
        <is>
          <t>Assumption: inline fix on the error screen (templates, flow lint)</t>
        </is>
      </c>
    </row>
    <row r="35">
      <c r="A35" t="inlineStr">
        <is>
          <t>Tier 1 - guided AI diagnosis in Co-Pilot drawer</t>
        </is>
      </c>
      <c r="B35" s="13" t="n">
        <v>0.25</v>
      </c>
      <c r="C35" t="inlineStr">
        <is>
          <t>% of total</t>
        </is>
      </c>
      <c r="D35" s="12" t="inlineStr">
        <is>
          <t>Assumption: multi-step guidance (WABA, delivery, integrations)</t>
        </is>
      </c>
    </row>
    <row r="36">
      <c r="A36" s="16" t="inlineStr">
        <is>
          <t>AI self-serve resolution rate</t>
        </is>
      </c>
      <c r="B36" s="19">
        <f>B34+B35</f>
        <v/>
      </c>
      <c r="C36" t="inlineStr">
        <is>
          <t>%</t>
        </is>
      </c>
      <c r="D36" s="12" t="inlineStr">
        <is>
          <t>Calc: Tier 0 + Tier 1</t>
        </is>
      </c>
    </row>
    <row r="37">
      <c r="A37" t="inlineStr">
        <is>
          <t>Tier 2 - escalated to human (with diagnostic packet)</t>
        </is>
      </c>
      <c r="B37" s="18">
        <f>1-B36</f>
        <v/>
      </c>
      <c r="C37" t="inlineStr">
        <is>
          <t>%</t>
        </is>
      </c>
      <c r="D37" s="12" t="inlineStr">
        <is>
          <t>Calc: 1 - AI rate</t>
        </is>
      </c>
    </row>
    <row r="38">
      <c r="A38" t="inlineStr">
        <is>
          <t>Resolved at Tier 0</t>
        </is>
      </c>
      <c r="B38" s="14">
        <f>B16*B34</f>
        <v/>
      </c>
      <c r="C38" t="inlineStr">
        <is>
          <t>queries/mo</t>
        </is>
      </c>
      <c r="D38" s="12" t="inlineStr"/>
    </row>
    <row r="39">
      <c r="A39" t="inlineStr">
        <is>
          <t>Resolved at Tier 1</t>
        </is>
      </c>
      <c r="B39" s="14">
        <f>B16*B35</f>
        <v/>
      </c>
      <c r="C39" t="inlineStr">
        <is>
          <t>queries/mo</t>
        </is>
      </c>
      <c r="D39" s="12" t="inlineStr"/>
    </row>
    <row r="40">
      <c r="A40" s="16" t="inlineStr">
        <is>
          <t>Resolved WITHOUT a human</t>
        </is>
      </c>
      <c r="B40" s="17">
        <f>B38+B39</f>
        <v/>
      </c>
      <c r="C40" t="inlineStr">
        <is>
          <t>queries/mo</t>
        </is>
      </c>
      <c r="D40" s="12" t="inlineStr">
        <is>
          <t>Calc: Tier 0 + Tier 1</t>
        </is>
      </c>
    </row>
    <row r="41">
      <c r="A41" s="16" t="inlineStr">
        <is>
          <t>Still need a human</t>
        </is>
      </c>
      <c r="B41" s="17">
        <f>B16-B40</f>
        <v/>
      </c>
      <c r="C41" t="inlineStr">
        <is>
          <t>queries/mo</t>
        </is>
      </c>
      <c r="D41" s="12" t="inlineStr">
        <is>
          <t>Calc: Total - AI 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4" customWidth="1" min="3" max="3"/>
    <col width="70" customWidth="1" min="4" max="4"/>
    <col width="14" customWidth="1" min="5" max="5"/>
    <col width="22" customWidth="1" min="6" max="6"/>
  </cols>
  <sheetData>
    <row r="1">
      <c r="A1" s="1" t="inlineStr">
        <is>
          <t>2. AI running cost - per query and per month</t>
        </is>
      </c>
      <c r="F1" s="7" t="inlineStr">
        <is>
          <t>Legend</t>
        </is>
      </c>
    </row>
    <row r="2">
      <c r="A2" s="2" t="inlineStr">
        <is>
          <t>Multi-turn token math. Prices: Anthropic API pricing (claude.com/pricing), checked Oct 2026. Edit blue cells to test other models.</t>
        </is>
      </c>
      <c r="F2" s="8" t="inlineStr">
        <is>
          <t>Assumption (edit)</t>
        </is>
      </c>
    </row>
    <row r="3">
      <c r="F3" t="inlineStr">
        <is>
          <t>Formula (do not edit)</t>
        </is>
      </c>
    </row>
    <row r="4">
      <c r="F4" s="9" t="inlineStr">
        <is>
          <t>Key output</t>
        </is>
      </c>
    </row>
    <row r="5">
      <c r="A5" s="10" t="inlineStr">
        <is>
          <t>Model prices (USD per 1M tokens)</t>
        </is>
      </c>
      <c r="B5" s="10" t="inlineStr">
        <is>
          <t>Value</t>
        </is>
      </c>
      <c r="C5" s="10" t="inlineStr">
        <is>
          <t>Unit</t>
        </is>
      </c>
      <c r="D5" s="10" t="inlineStr">
        <is>
          <t>Logic / Source</t>
        </is>
      </c>
    </row>
    <row r="6">
      <c r="A6" t="inlineStr">
        <is>
          <t>Fast model input - Claude Haiku 5.5</t>
        </is>
      </c>
      <c r="B6" s="20" t="n">
        <v>0.1</v>
      </c>
      <c r="C6" t="inlineStr">
        <is>
          <t>$/1M</t>
        </is>
      </c>
      <c r="D6" s="12" t="inlineStr">
        <is>
          <t>Anthropic API pricing, prompts &lt;=100K tokens. Used for triage + guided steps.</t>
        </is>
      </c>
    </row>
    <row r="7">
      <c r="A7" t="inlineStr">
        <is>
          <t>Fast model output - Claude Haiku 5.5</t>
        </is>
      </c>
      <c r="B7" s="20" t="n">
        <v>0.5</v>
      </c>
      <c r="C7" t="inlineStr">
        <is>
          <t>$/1M</t>
        </is>
      </c>
      <c r="D7" s="12" t="inlineStr">
        <is>
          <t>Anthropic API pricing</t>
        </is>
      </c>
    </row>
    <row r="8">
      <c r="A8" t="inlineStr">
        <is>
          <t>Smart model input - Claude Sonnet 5.5</t>
        </is>
      </c>
      <c r="B8" s="20" t="n">
        <v>2</v>
      </c>
      <c r="C8" t="inlineStr">
        <is>
          <t>$/1M</t>
        </is>
      </c>
      <c r="D8" s="12" t="inlineStr">
        <is>
          <t>Anthropic API pricing. Used for template rewrites + flow debugging.</t>
        </is>
      </c>
    </row>
    <row r="9">
      <c r="A9" t="inlineStr">
        <is>
          <t>Smart model output - Claude Sonnet 5.5</t>
        </is>
      </c>
      <c r="B9" s="20" t="n">
        <v>10</v>
      </c>
      <c r="C9" t="inlineStr">
        <is>
          <t>$/1M</t>
        </is>
      </c>
      <c r="D9" s="12" t="inlineStr">
        <is>
          <t>Anthropic API pricing</t>
        </is>
      </c>
    </row>
    <row r="10">
      <c r="A10" t="inlineStr">
        <is>
          <t>Share of queries on fast model</t>
        </is>
      </c>
      <c r="B10" s="13" t="n">
        <v>0.8</v>
      </c>
      <c r="C10" t="inlineStr">
        <is>
          <t>%</t>
        </is>
      </c>
      <c r="D10" s="12" t="inlineStr">
        <is>
          <t>Assumption: router sends simple cases to Haiku</t>
        </is>
      </c>
    </row>
    <row r="11">
      <c r="A11" t="inlineStr">
        <is>
          <t>Share of queries on smart model</t>
        </is>
      </c>
      <c r="B11" s="18">
        <f>1-B10</f>
        <v/>
      </c>
      <c r="C11" t="inlineStr">
        <is>
          <t>%</t>
        </is>
      </c>
      <c r="D11" s="12" t="inlineStr">
        <is>
          <t>Calc: 1 - fast share</t>
        </is>
      </c>
    </row>
    <row r="13">
      <c r="A13" s="10" t="inlineStr">
        <is>
          <t>Tokens per query (multi-turn)</t>
        </is>
      </c>
      <c r="B13" s="10" t="inlineStr">
        <is>
          <t>Value</t>
        </is>
      </c>
      <c r="C13" s="10" t="inlineStr">
        <is>
          <t>Unit</t>
        </is>
      </c>
      <c r="D13" s="10" t="inlineStr">
        <is>
          <t>Logic / Source</t>
        </is>
      </c>
    </row>
    <row r="14">
      <c r="A14" t="inlineStr">
        <is>
          <t>Average turns per session</t>
        </is>
      </c>
      <c r="B14" s="15" t="n">
        <v>3.5</v>
      </c>
      <c r="C14" t="inlineStr">
        <is>
          <t>turns</t>
        </is>
      </c>
      <c r="D14" s="12" t="inlineStr">
        <is>
          <t>Assumption: diagnose -&gt; confirm -&gt; fix -&gt; verify</t>
        </is>
      </c>
    </row>
    <row r="15">
      <c r="A15" t="inlineStr">
        <is>
          <t>Input tokens per turn</t>
        </is>
      </c>
      <c r="B15" s="11" t="n">
        <v>2800</v>
      </c>
      <c r="C15" t="inlineStr">
        <is>
          <t>tokens</t>
        </is>
      </c>
      <c r="D15" s="12" t="inlineStr">
        <is>
          <t>System prompt ~900 + page/error JSON ~600 + RAG chunk ~800 + history ~500</t>
        </is>
      </c>
    </row>
    <row r="16">
      <c r="A16" t="inlineStr">
        <is>
          <t>Output tokens per turn</t>
        </is>
      </c>
      <c r="B16" s="11" t="n">
        <v>450</v>
      </c>
      <c r="C16" t="inlineStr">
        <is>
          <t>tokens</t>
        </is>
      </c>
      <c r="D16" s="12" t="inlineStr">
        <is>
          <t>Plain-English answer + JSON fix payload</t>
        </is>
      </c>
    </row>
    <row r="17">
      <c r="A17" t="inlineStr">
        <is>
          <t>Input tokens per query</t>
        </is>
      </c>
      <c r="B17" s="14">
        <f>B14*B15</f>
        <v/>
      </c>
      <c r="C17" t="inlineStr">
        <is>
          <t>tokens</t>
        </is>
      </c>
      <c r="D17" s="12" t="inlineStr">
        <is>
          <t>Calc: turns x input/turn</t>
        </is>
      </c>
    </row>
    <row r="18">
      <c r="A18" t="inlineStr">
        <is>
          <t>Output tokens per query</t>
        </is>
      </c>
      <c r="B18" s="14">
        <f>B14*B16</f>
        <v/>
      </c>
      <c r="C18" t="inlineStr">
        <is>
          <t>tokens</t>
        </is>
      </c>
      <c r="D18" s="12" t="inlineStr">
        <is>
          <t>Calc: turns x output/turn</t>
        </is>
      </c>
    </row>
    <row r="19">
      <c r="A19" t="inlineStr">
        <is>
          <t>Retry / cache-miss buffer</t>
        </is>
      </c>
      <c r="B19" s="13" t="n">
        <v>0.15</v>
      </c>
      <c r="C19" t="inlineStr">
        <is>
          <t>%</t>
        </is>
      </c>
      <c r="D19" s="12" t="inlineStr">
        <is>
          <t>Assumption: failed tool calls, regenerations</t>
        </is>
      </c>
    </row>
    <row r="21">
      <c r="A21" s="10" t="inlineStr">
        <is>
          <t>Cost per query</t>
        </is>
      </c>
      <c r="B21" s="10" t="inlineStr">
        <is>
          <t>Value</t>
        </is>
      </c>
      <c r="C21" s="10" t="inlineStr">
        <is>
          <t>Unit</t>
        </is>
      </c>
      <c r="D21" s="10" t="inlineStr">
        <is>
          <t>Logic / Source</t>
        </is>
      </c>
    </row>
    <row r="22">
      <c r="A22" t="inlineStr">
        <is>
          <t>Fast-model cost per query</t>
        </is>
      </c>
      <c r="B22" s="21">
        <f>(B17*B6+B18*B7)/1000000</f>
        <v/>
      </c>
      <c r="C22" t="inlineStr">
        <is>
          <t>USD</t>
        </is>
      </c>
      <c r="D22" s="12" t="inlineStr">
        <is>
          <t>Calc: (in x price + out x price) / 1M</t>
        </is>
      </c>
    </row>
    <row r="23">
      <c r="A23" t="inlineStr">
        <is>
          <t>Smart-model cost per query</t>
        </is>
      </c>
      <c r="B23" s="21">
        <f>(B17*B8+B18*B9)/1000000</f>
        <v/>
      </c>
      <c r="C23" t="inlineStr">
        <is>
          <t>USD</t>
        </is>
      </c>
      <c r="D23" s="12" t="inlineStr">
        <is>
          <t>Calc: (in x price + out x price) / 1M</t>
        </is>
      </c>
    </row>
    <row r="24">
      <c r="A24" t="inlineStr">
        <is>
          <t>Blended cost per query (before buffer)</t>
        </is>
      </c>
      <c r="B24" s="21">
        <f>B10*B22+B11*B23</f>
        <v/>
      </c>
      <c r="C24" t="inlineStr">
        <is>
          <t>USD</t>
        </is>
      </c>
      <c r="D24" s="12" t="inlineStr">
        <is>
          <t>Calc: weighted by routing share</t>
        </is>
      </c>
    </row>
    <row r="25">
      <c r="A25" t="inlineStr">
        <is>
          <t>LLM cost per query (with buffer)</t>
        </is>
      </c>
      <c r="B25" s="21">
        <f>B24*(1+B19)</f>
        <v/>
      </c>
      <c r="C25" t="inlineStr">
        <is>
          <t>USD</t>
        </is>
      </c>
      <c r="D25" s="12" t="inlineStr">
        <is>
          <t>Calc: blended x (1 + buffer)</t>
        </is>
      </c>
    </row>
    <row r="26">
      <c r="A26" t="inlineStr">
        <is>
          <t>FX rate</t>
        </is>
      </c>
      <c r="B26" s="15" t="n">
        <v>84</v>
      </c>
      <c r="C26" t="inlineStr">
        <is>
          <t>₹ per $</t>
        </is>
      </c>
      <c r="D26" s="12" t="inlineStr">
        <is>
          <t>Assumption - edit to today's rate</t>
        </is>
      </c>
    </row>
    <row r="27">
      <c r="A27" s="16" t="inlineStr">
        <is>
          <t>LLM cost per query</t>
        </is>
      </c>
      <c r="B27" s="22">
        <f>B25*B26</f>
        <v/>
      </c>
      <c r="C27" t="inlineStr">
        <is>
          <t>₹</t>
        </is>
      </c>
      <c r="D27" s="12" t="inlineStr">
        <is>
          <t>Calc: USD x FX</t>
        </is>
      </c>
    </row>
    <row r="29">
      <c r="A29" s="10" t="inlineStr">
        <is>
          <t>Monthly running cost</t>
        </is>
      </c>
      <c r="B29" s="10" t="inlineStr">
        <is>
          <t>Value</t>
        </is>
      </c>
      <c r="C29" s="10" t="inlineStr">
        <is>
          <t>Unit</t>
        </is>
      </c>
      <c r="D29" s="10" t="inlineStr">
        <is>
          <t>Logic / Source</t>
        </is>
      </c>
    </row>
    <row r="30">
      <c r="A30" t="inlineStr">
        <is>
          <t>Queries hitting the AI per month</t>
        </is>
      </c>
      <c r="B30" s="14">
        <f>'1_Guesstimate_Volume'!B16</f>
        <v/>
      </c>
      <c r="C30" t="inlineStr">
        <is>
          <t>queries/mo</t>
        </is>
      </c>
      <c r="D30" s="12" t="inlineStr">
        <is>
          <t>From tab 1 - every query starts with Co-Pilot, incl. escalated ones</t>
        </is>
      </c>
    </row>
    <row r="31">
      <c r="A31" t="inlineStr">
        <is>
          <t>LLM spend per month</t>
        </is>
      </c>
      <c r="B31" s="23">
        <f>B30*B25</f>
        <v/>
      </c>
      <c r="C31" t="inlineStr">
        <is>
          <t>USD</t>
        </is>
      </c>
      <c r="D31" s="12" t="inlineStr">
        <is>
          <t>Calc: volume x cost/query</t>
        </is>
      </c>
    </row>
    <row r="32">
      <c r="A32" t="inlineStr">
        <is>
          <t>Fixed infra (vector DB + Langfuse logging + hosting)</t>
        </is>
      </c>
      <c r="B32" s="20" t="n">
        <v>120</v>
      </c>
      <c r="C32" t="inlineStr">
        <is>
          <t>USD/mo</t>
        </is>
      </c>
      <c r="D32" s="12" t="inlineStr">
        <is>
          <t>Assumption: Pinecone starter + Langfuse + small container</t>
        </is>
      </c>
    </row>
    <row r="33">
      <c r="A33" t="inlineStr">
        <is>
          <t>Total AI running cost</t>
        </is>
      </c>
      <c r="B33" s="23">
        <f>B31+B32</f>
        <v/>
      </c>
      <c r="C33" t="inlineStr">
        <is>
          <t>USD/mo</t>
        </is>
      </c>
      <c r="D33" s="12" t="inlineStr">
        <is>
          <t>Calc: LLM + infra</t>
        </is>
      </c>
    </row>
    <row r="34">
      <c r="A34" s="16" t="inlineStr">
        <is>
          <t>Total AI running cost</t>
        </is>
      </c>
      <c r="B34" s="24">
        <f>B33*B26</f>
        <v/>
      </c>
      <c r="C34" t="inlineStr">
        <is>
          <t>₹/mo</t>
        </is>
      </c>
      <c r="D34" s="12" t="inlineStr">
        <is>
          <t>Calc: USD x FX</t>
        </is>
      </c>
    </row>
    <row r="35">
      <c r="A35" t="inlineStr">
        <is>
          <t>All-in cost per query (LLM + infra)</t>
        </is>
      </c>
      <c r="B35" s="25">
        <f>B34/B30</f>
        <v/>
      </c>
      <c r="C35" t="inlineStr">
        <is>
          <t>₹</t>
        </is>
      </c>
      <c r="D35" s="12" t="inlineStr">
        <is>
          <t>Calc: monthly cost / all queries</t>
        </is>
      </c>
    </row>
    <row r="36">
      <c r="A36" s="16" t="inlineStr">
        <is>
          <t>All-in cost per AI-RESOLVED query</t>
        </is>
      </c>
      <c r="B36" s="22">
        <f>B34/'1_Guesstimate_Volume'!B40</f>
        <v/>
      </c>
      <c r="C36" t="inlineStr">
        <is>
          <t>₹</t>
        </is>
      </c>
      <c r="D36" s="12" t="inlineStr">
        <is>
          <t>Calc: monthly cost / queries resolved without human (the honest unit)</t>
        </is>
      </c>
    </row>
    <row r="38">
      <c r="A38" s="10" t="inlineStr">
        <is>
          <t>Sensitivity - what if we used a different model?</t>
        </is>
      </c>
      <c r="B38" s="10" t="inlineStr">
        <is>
          <t>Value</t>
        </is>
      </c>
      <c r="C38" s="10" t="inlineStr">
        <is>
          <t>Unit</t>
        </is>
      </c>
      <c r="D38" s="10" t="inlineStr">
        <is>
          <t>Logic / Source</t>
        </is>
      </c>
    </row>
    <row r="39">
      <c r="A39" t="inlineStr">
        <is>
          <t>Alt: GPT-4o-mini input</t>
        </is>
      </c>
      <c r="B39" s="20" t="n">
        <v>0.15</v>
      </c>
      <c r="C39" t="inlineStr">
        <is>
          <t>$/1M</t>
        </is>
      </c>
      <c r="D39" s="12" t="inlineStr">
        <is>
          <t>OpenAI API pricing page - verify before relying on it</t>
        </is>
      </c>
    </row>
    <row r="40">
      <c r="A40" t="inlineStr">
        <is>
          <t>Alt: GPT-4o-mini output</t>
        </is>
      </c>
      <c r="B40" s="20" t="n">
        <v>0.6</v>
      </c>
      <c r="C40" t="inlineStr">
        <is>
          <t>$/1M</t>
        </is>
      </c>
      <c r="D40" s="12" t="inlineStr">
        <is>
          <t>OpenAI API pricing page</t>
        </is>
      </c>
    </row>
    <row r="41">
      <c r="A41" t="inlineStr">
        <is>
          <t>Alt: cost per query if 100% GPT-4o-mini</t>
        </is>
      </c>
      <c r="B41" s="25">
        <f>(B17*B39+B18*B40)/1000000*(1+B19)*B26</f>
        <v/>
      </c>
      <c r="C41" t="inlineStr">
        <is>
          <t>₹</t>
        </is>
      </c>
      <c r="D41" s="12" t="inlineStr">
        <is>
          <t>Same token math</t>
        </is>
      </c>
    </row>
    <row r="42">
      <c r="A42" t="inlineStr">
        <is>
          <t>Worst case: cost per query if 100% Sonnet 5.5</t>
        </is>
      </c>
      <c r="B42" s="25">
        <f>B23*(1+B19)*B26</f>
        <v/>
      </c>
      <c r="C42" t="inlineStr">
        <is>
          <t>₹</t>
        </is>
      </c>
      <c r="D42" s="12" t="inlineStr">
        <is>
          <t>If the router breaks and everything goes to the smart model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4" customWidth="1" min="3" max="3"/>
    <col width="70" customWidth="1" min="4" max="4"/>
    <col width="14" customWidth="1" min="5" max="5"/>
    <col width="22" customWidth="1" min="6" max="6"/>
  </cols>
  <sheetData>
    <row r="1">
      <c r="A1" s="1" t="inlineStr">
        <is>
          <t>3. Billing - how we charge and the margin</t>
        </is>
      </c>
      <c r="F1" s="7" t="inlineStr">
        <is>
          <t>Legend</t>
        </is>
      </c>
    </row>
    <row r="2">
      <c r="A2" s="2" t="inlineStr">
        <is>
          <t>Recommendation: core setup help is FREE; a paid 'Co-Pilot Pro' add-on covers the cost many times over.</t>
        </is>
      </c>
      <c r="F2" s="8" t="inlineStr">
        <is>
          <t>Assumption (edit)</t>
        </is>
      </c>
    </row>
    <row r="3">
      <c r="F3" t="inlineStr">
        <is>
          <t>Formula (do not edit)</t>
        </is>
      </c>
    </row>
    <row r="4">
      <c r="F4" s="9" t="inlineStr">
        <is>
          <t>Key output</t>
        </is>
      </c>
    </row>
    <row r="5">
      <c r="A5" s="10" t="inlineStr">
        <is>
          <t>Option comparison (qualitative)</t>
        </is>
      </c>
      <c r="B5" s="10" t="inlineStr">
        <is>
          <t>Value</t>
        </is>
      </c>
      <c r="C5" s="10" t="inlineStr">
        <is>
          <t>Unit</t>
        </is>
      </c>
      <c r="D5" s="10" t="inlineStr">
        <is>
          <t>Logic / Source</t>
        </is>
      </c>
    </row>
    <row r="6">
      <c r="A6" s="7" t="inlineStr">
        <is>
          <t>Option</t>
        </is>
      </c>
      <c r="B6" s="7" t="inlineStr">
        <is>
          <t>Pro</t>
        </is>
      </c>
      <c r="D6" s="7" t="inlineStr">
        <is>
          <t>Con / Why</t>
        </is>
      </c>
    </row>
    <row r="7">
      <c r="A7" t="inlineStr">
        <is>
          <t>A. Free, included in all plans</t>
        </is>
      </c>
      <c r="B7" s="26" t="inlineStr">
        <is>
          <t>Zero friction, max deflection</t>
        </is>
      </c>
      <c r="D7" s="26" t="inlineStr">
        <is>
          <t>No direct revenue; cost absorbed</t>
        </is>
      </c>
    </row>
    <row r="8">
      <c r="A8" t="inlineStr">
        <is>
          <t>B. Per-conversation charge (e.g. ₹5/query)</t>
        </is>
      </c>
      <c r="B8" s="26" t="inlineStr">
        <is>
          <t>Revenue tracks usage</t>
        </is>
      </c>
      <c r="D8" s="26" t="inlineStr">
        <is>
          <t>Charges users exactly when they are stuck -&gt; they go back to tickets. Rejected.</t>
        </is>
      </c>
    </row>
    <row r="9">
      <c r="A9" t="inlineStr">
        <is>
          <t>C. AI credits pool</t>
        </is>
      </c>
      <c r="B9" s="26" t="inlineStr">
        <is>
          <t>Flexible, familiar from WhatsApp credits</t>
        </is>
      </c>
      <c r="D9" s="26" t="inlineStr">
        <is>
          <t>Users must budget for help; confusing for non-technical owners</t>
        </is>
      </c>
    </row>
    <row r="10">
      <c r="A10" t="inlineStr">
        <is>
          <t>D. Plan add-on (flat monthly)</t>
        </is>
      </c>
      <c r="B10" s="26" t="inlineStr">
        <is>
          <t>Predictable revenue, easy to explain</t>
        </is>
      </c>
      <c r="D10" s="26" t="inlineStr">
        <is>
          <t>Must avoid paywalling basic setup help</t>
        </is>
      </c>
    </row>
    <row r="11">
      <c r="A11" t="inlineStr">
        <is>
          <t>RECOMMENDED: Hybrid - Free core + Pro add-on</t>
        </is>
      </c>
      <c r="B11" s="26" t="inlineStr">
        <is>
          <t>Free setup fixes keep activation high; Pro monetises power users</t>
        </is>
      </c>
      <c r="D11" s="26" t="inlineStr">
        <is>
          <t>Need a fair-use cap on free tier</t>
        </is>
      </c>
    </row>
    <row r="13">
      <c r="A13" s="10" t="inlineStr">
        <is>
          <t>Recommended pricing</t>
        </is>
      </c>
      <c r="B13" s="10" t="inlineStr">
        <is>
          <t>Value</t>
        </is>
      </c>
      <c r="C13" s="10" t="inlineStr">
        <is>
          <t>Unit</t>
        </is>
      </c>
      <c r="D13" s="10" t="inlineStr">
        <is>
          <t>Logic / Source</t>
        </is>
      </c>
    </row>
    <row r="14">
      <c r="A14" t="inlineStr">
        <is>
          <t>Free auto-fixes per business / month</t>
        </is>
      </c>
      <c r="B14" s="11" t="n">
        <v>15</v>
      </c>
      <c r="C14" t="inlineStr">
        <is>
          <t>fixes</t>
        </is>
      </c>
      <c r="D14" s="12" t="inlineStr">
        <is>
          <t>Covers ~3x a typical business's monthly need (tab 1 rates)</t>
        </is>
      </c>
    </row>
    <row r="15">
      <c r="A15" t="inlineStr">
        <is>
          <t>Co-Pilot Pro add-on price (Starter plan)</t>
        </is>
      </c>
      <c r="B15" s="27" t="n">
        <v>999</v>
      </c>
      <c r="C15" t="inlineStr">
        <is>
          <t>₹/mo</t>
        </is>
      </c>
      <c r="D15" s="12" t="inlineStr">
        <is>
          <t>Unlimited template rewriter, auto-flow builder, priority audit. Bundled free in Growth/Enterprise.</t>
        </is>
      </c>
    </row>
    <row r="16">
      <c r="A16" t="inlineStr">
        <is>
          <t>Attach rate (businesses buying Pro)</t>
        </is>
      </c>
      <c r="B16" s="13" t="n">
        <v>0.12</v>
      </c>
      <c r="C16" t="inlineStr">
        <is>
          <t>%</t>
        </is>
      </c>
      <c r="D16" s="12" t="inlineStr">
        <is>
          <t>Assumption: similar to other SaaS power-user add-ons</t>
        </is>
      </c>
    </row>
    <row r="17">
      <c r="A17" t="inlineStr">
        <is>
          <t>Paying Pro businesses</t>
        </is>
      </c>
      <c r="B17" s="14">
        <f>'1_Guesstimate_Volume'!B6*B16</f>
        <v/>
      </c>
      <c r="C17" t="inlineStr">
        <is>
          <t>businesses</t>
        </is>
      </c>
      <c r="D17" s="12" t="inlineStr">
        <is>
          <t>Calc: Active x attach rate</t>
        </is>
      </c>
    </row>
    <row r="18">
      <c r="A18" s="16" t="inlineStr">
        <is>
          <t>Monthly add-on revenue</t>
        </is>
      </c>
      <c r="B18" s="24">
        <f>B17*B15</f>
        <v/>
      </c>
      <c r="C18" t="inlineStr">
        <is>
          <t>₹/mo</t>
        </is>
      </c>
      <c r="D18" s="12" t="inlineStr">
        <is>
          <t>Calc: buyers x price</t>
        </is>
      </c>
    </row>
    <row r="20">
      <c r="A20" s="10" t="inlineStr">
        <is>
          <t>Margin</t>
        </is>
      </c>
      <c r="B20" s="10" t="inlineStr">
        <is>
          <t>Value</t>
        </is>
      </c>
      <c r="C20" s="10" t="inlineStr">
        <is>
          <t>Unit</t>
        </is>
      </c>
      <c r="D20" s="10" t="inlineStr">
        <is>
          <t>Logic / Source</t>
        </is>
      </c>
    </row>
    <row r="21">
      <c r="A21" t="inlineStr">
        <is>
          <t>Total monthly AI running cost (ALL users, free + Pro)</t>
        </is>
      </c>
      <c r="B21" s="28">
        <f>'2_AI_Running_Cost'!B34</f>
        <v/>
      </c>
      <c r="C21" t="inlineStr">
        <is>
          <t>₹/mo</t>
        </is>
      </c>
      <c r="D21" s="12" t="inlineStr">
        <is>
          <t>From tab 2 - conservative: Pro revenue carries everyone's AI cost</t>
        </is>
      </c>
    </row>
    <row r="22">
      <c r="A22" t="inlineStr">
        <is>
          <t>Extra cost of Pro usage (heavy users)</t>
        </is>
      </c>
      <c r="B22" s="28">
        <f>B17*20*'2_AI_Running_Cost'!B27*2</f>
        <v/>
      </c>
      <c r="C22" t="inlineStr">
        <is>
          <t>₹/mo</t>
        </is>
      </c>
      <c r="D22" s="12" t="inlineStr">
        <is>
          <t>Assumption: each Pro user runs 20 extra sessions/mo at 2x tokens</t>
        </is>
      </c>
    </row>
    <row r="23">
      <c r="A23" s="16" t="inlineStr">
        <is>
          <t>Gross profit</t>
        </is>
      </c>
      <c r="B23" s="24">
        <f>B18-B21-B22</f>
        <v/>
      </c>
      <c r="C23" t="inlineStr">
        <is>
          <t>₹/mo</t>
        </is>
      </c>
      <c r="D23" s="12" t="inlineStr">
        <is>
          <t>Calc: revenue - costs</t>
        </is>
      </c>
    </row>
    <row r="24">
      <c r="A24" s="16" t="inlineStr">
        <is>
          <t>Gross margin</t>
        </is>
      </c>
      <c r="B24" s="19">
        <f>B23/B18</f>
        <v/>
      </c>
      <c r="C24" t="inlineStr">
        <is>
          <t>%</t>
        </is>
      </c>
      <c r="D24" s="12" t="inlineStr">
        <is>
          <t>Calc: profit / revenue</t>
        </is>
      </c>
    </row>
    <row r="25">
      <c r="A25" t="inlineStr">
        <is>
          <t>Break-even Pro buyers</t>
        </is>
      </c>
      <c r="B25" s="14">
        <f>CEILING((B21+B22)/B15,1)</f>
        <v/>
      </c>
      <c r="C25" t="inlineStr">
        <is>
          <t>businesses</t>
        </is>
      </c>
      <c r="D25" s="12" t="inlineStr">
        <is>
          <t>Buyers needed to cover all AI cost</t>
        </is>
      </c>
    </row>
    <row r="26">
      <c r="A26" t="inlineStr">
        <is>
          <t>AI cost per business per month (all tenants)</t>
        </is>
      </c>
      <c r="B26" s="25">
        <f>B21/'1_Guesstimate_Volume'!B6</f>
        <v/>
      </c>
      <c r="C26" t="inlineStr">
        <is>
          <t>₹/biz/mo</t>
        </is>
      </c>
      <c r="D26" s="12" t="inlineStr">
        <is>
          <t>Even at 0% attach, this is tiny vs. plan prices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4" customWidth="1" min="3" max="3"/>
    <col width="70" customWidth="1" min="4" max="4"/>
    <col width="14" customWidth="1" min="5" max="5"/>
    <col width="22" customWidth="1" min="6" max="6"/>
  </cols>
  <sheetData>
    <row r="1">
      <c r="A1" s="1" t="inlineStr">
        <is>
          <t>4. Savings - Co-Pilot vs. 100% human support</t>
        </is>
      </c>
      <c r="F1" s="7" t="inlineStr">
        <is>
          <t>Legend</t>
        </is>
      </c>
    </row>
    <row r="2">
      <c r="A2" s="2" t="inlineStr">
        <is>
          <t>Same monthly volume, two ways of handling it.</t>
        </is>
      </c>
      <c r="F2" s="8" t="inlineStr">
        <is>
          <t>Assumption (edit)</t>
        </is>
      </c>
    </row>
    <row r="3">
      <c r="F3" t="inlineStr">
        <is>
          <t>Formula (do not edit)</t>
        </is>
      </c>
    </row>
    <row r="4">
      <c r="F4" s="9" t="inlineStr">
        <is>
          <t>Key output</t>
        </is>
      </c>
    </row>
    <row r="5">
      <c r="A5" s="10" t="inlineStr">
        <is>
          <t>Baseline: every query handled by a human</t>
        </is>
      </c>
      <c r="B5" s="10" t="inlineStr">
        <is>
          <t>Value</t>
        </is>
      </c>
      <c r="C5" s="10" t="inlineStr">
        <is>
          <t>Unit</t>
        </is>
      </c>
      <c r="D5" s="10" t="inlineStr">
        <is>
          <t>Logic / Source</t>
        </is>
      </c>
    </row>
    <row r="6">
      <c r="A6" t="inlineStr">
        <is>
          <t>Average handling time per setup ticket</t>
        </is>
      </c>
      <c r="B6" s="11" t="n">
        <v>18</v>
      </c>
      <c r="C6" t="inlineStr">
        <is>
          <t>minutes</t>
        </is>
      </c>
      <c r="D6" s="12" t="inlineStr">
        <is>
          <t>Assumption: screenshot back-and-forth, checking Meta errors</t>
        </is>
      </c>
    </row>
    <row r="7">
      <c r="A7" t="inlineStr">
        <is>
          <t>Productive hours per agent / month</t>
        </is>
      </c>
      <c r="B7" s="11" t="n">
        <v>160</v>
      </c>
      <c r="C7" t="inlineStr">
        <is>
          <t>hours</t>
        </is>
      </c>
      <c r="D7" s="12" t="inlineStr">
        <is>
          <t>Assumption: 8h x 20 days</t>
        </is>
      </c>
    </row>
    <row r="8">
      <c r="A8" t="inlineStr">
        <is>
          <t>Tickets per agent per month</t>
        </is>
      </c>
      <c r="B8" s="29">
        <f>(B7*60)/B6</f>
        <v/>
      </c>
      <c r="C8" t="inlineStr">
        <is>
          <t>tickets</t>
        </is>
      </c>
      <c r="D8" s="12" t="inlineStr">
        <is>
          <t>Calc: minutes available / AHT</t>
        </is>
      </c>
    </row>
    <row r="9">
      <c r="A9" t="inlineStr">
        <is>
          <t>Agents needed</t>
        </is>
      </c>
      <c r="B9" s="14">
        <f>CEILING('1_Guesstimate_Volume'!B16/B8,1)</f>
        <v/>
      </c>
      <c r="C9" t="inlineStr">
        <is>
          <t>agents</t>
        </is>
      </c>
      <c r="D9" s="12" t="inlineStr">
        <is>
          <t>Calc: volume / capacity, rounded up</t>
        </is>
      </c>
    </row>
    <row r="10">
      <c r="A10" t="inlineStr">
        <is>
          <t>Fully loaded cost per L1/L2 agent (India)</t>
        </is>
      </c>
      <c r="B10" s="27" t="n">
        <v>35000</v>
      </c>
      <c r="C10" t="inlineStr">
        <is>
          <t>₹/mo</t>
        </is>
      </c>
      <c r="D10" s="12" t="inlineStr">
        <is>
          <t>Assumption: salary + PF + tools + mgmt overhead</t>
        </is>
      </c>
    </row>
    <row r="11">
      <c r="A11" s="16" t="inlineStr">
        <is>
          <t>Baseline monthly support cost</t>
        </is>
      </c>
      <c r="B11" s="24">
        <f>B9*B10</f>
        <v/>
      </c>
      <c r="C11" t="inlineStr">
        <is>
          <t>₹/mo</t>
        </is>
      </c>
      <c r="D11" s="12" t="inlineStr">
        <is>
          <t>Calc: agents x cost</t>
        </is>
      </c>
    </row>
    <row r="12">
      <c r="A12" t="inlineStr">
        <is>
          <t>Baseline cost per ticket</t>
        </is>
      </c>
      <c r="B12" s="25">
        <f>B11/'1_Guesstimate_Volume'!B16</f>
        <v/>
      </c>
      <c r="C12" t="inlineStr">
        <is>
          <t>₹</t>
        </is>
      </c>
      <c r="D12" s="12" t="inlineStr"/>
    </row>
    <row r="14">
      <c r="A14" s="10" t="inlineStr">
        <is>
          <t>With Cheerio Co-Pilot</t>
        </is>
      </c>
      <c r="B14" s="10" t="inlineStr">
        <is>
          <t>Value</t>
        </is>
      </c>
      <c r="C14" s="10" t="inlineStr">
        <is>
          <t>Unit</t>
        </is>
      </c>
      <c r="D14" s="10" t="inlineStr">
        <is>
          <t>Logic / Source</t>
        </is>
      </c>
    </row>
    <row r="15">
      <c r="A15" t="inlineStr">
        <is>
          <t>Tickets still reaching humans</t>
        </is>
      </c>
      <c r="B15" s="14">
        <f>'1_Guesstimate_Volume'!B41</f>
        <v/>
      </c>
      <c r="C15" t="inlineStr">
        <is>
          <t>tickets/mo</t>
        </is>
      </c>
      <c r="D15" s="12" t="inlineStr">
        <is>
          <t>From tab 1</t>
        </is>
      </c>
    </row>
    <row r="16">
      <c r="A16" t="inlineStr">
        <is>
          <t>New AHT (diagnostic packet pre-attached)</t>
        </is>
      </c>
      <c r="B16" s="11" t="n">
        <v>10</v>
      </c>
      <c r="C16" t="inlineStr">
        <is>
          <t>minutes</t>
        </is>
      </c>
      <c r="D16" s="12" t="inlineStr">
        <is>
          <t>Assumption: WABA ID, error logs, steps tried arrive with the ticket, so no screenshot back-and-forth</t>
        </is>
      </c>
    </row>
    <row r="17">
      <c r="A17" t="inlineStr">
        <is>
          <t>Tickets per agent per month</t>
        </is>
      </c>
      <c r="B17" s="29">
        <f>(B7*60)/B16</f>
        <v/>
      </c>
      <c r="C17" t="inlineStr">
        <is>
          <t>tickets</t>
        </is>
      </c>
      <c r="D17" s="12" t="inlineStr">
        <is>
          <t>Calc: minutes / new AHT</t>
        </is>
      </c>
    </row>
    <row r="18">
      <c r="A18" t="inlineStr">
        <is>
          <t>Agents needed</t>
        </is>
      </c>
      <c r="B18" s="14">
        <f>CEILING(B15/B17,1)</f>
        <v/>
      </c>
      <c r="C18" t="inlineStr">
        <is>
          <t>agents</t>
        </is>
      </c>
      <c r="D18" s="12" t="inlineStr">
        <is>
          <t>Rounded up</t>
        </is>
      </c>
    </row>
    <row r="19">
      <c r="A19" t="inlineStr">
        <is>
          <t>Human cost</t>
        </is>
      </c>
      <c r="B19" s="28">
        <f>B18*B10</f>
        <v/>
      </c>
      <c r="C19" t="inlineStr">
        <is>
          <t>₹/mo</t>
        </is>
      </c>
      <c r="D19" s="12" t="inlineStr"/>
    </row>
    <row r="20">
      <c r="A20" t="inlineStr">
        <is>
          <t>AI running cost</t>
        </is>
      </c>
      <c r="B20" s="28">
        <f>'2_AI_Running_Cost'!B34</f>
        <v/>
      </c>
      <c r="C20" t="inlineStr">
        <is>
          <t>₹/mo</t>
        </is>
      </c>
      <c r="D20" s="12" t="inlineStr">
        <is>
          <t>From tab 2</t>
        </is>
      </c>
    </row>
    <row r="21">
      <c r="A21" s="16" t="inlineStr">
        <is>
          <t>Total new monthly cost</t>
        </is>
      </c>
      <c r="B21" s="24">
        <f>B19+B20</f>
        <v/>
      </c>
      <c r="C21" t="inlineStr">
        <is>
          <t>₹/mo</t>
        </is>
      </c>
      <c r="D21" s="12" t="inlineStr">
        <is>
          <t>Calc: human + AI</t>
        </is>
      </c>
    </row>
    <row r="23">
      <c r="A23" s="10" t="inlineStr">
        <is>
          <t>Savings</t>
        </is>
      </c>
      <c r="B23" s="10" t="inlineStr">
        <is>
          <t>Value</t>
        </is>
      </c>
      <c r="C23" s="10" t="inlineStr">
        <is>
          <t>Unit</t>
        </is>
      </c>
      <c r="D23" s="10" t="inlineStr">
        <is>
          <t>Logic / Source</t>
        </is>
      </c>
    </row>
    <row r="24">
      <c r="A24" s="16" t="inlineStr">
        <is>
          <t>Net monthly savings</t>
        </is>
      </c>
      <c r="B24" s="24">
        <f>B11-B21</f>
        <v/>
      </c>
      <c r="C24" t="inlineStr">
        <is>
          <t>₹/mo</t>
        </is>
      </c>
      <c r="D24" s="12" t="inlineStr">
        <is>
          <t>Calc: baseline - new</t>
        </is>
      </c>
    </row>
    <row r="25">
      <c r="A25" s="16" t="inlineStr">
        <is>
          <t>Net annual savings</t>
        </is>
      </c>
      <c r="B25" s="24">
        <f>B24*12</f>
        <v/>
      </c>
      <c r="C25" t="inlineStr">
        <is>
          <t>₹/yr</t>
        </is>
      </c>
      <c r="D25" s="12" t="inlineStr"/>
    </row>
    <row r="26">
      <c r="A26" s="16" t="inlineStr">
        <is>
          <t>Cost reduction</t>
        </is>
      </c>
      <c r="B26" s="19">
        <f>B24/B11</f>
        <v/>
      </c>
      <c r="C26" t="inlineStr">
        <is>
          <t>%</t>
        </is>
      </c>
      <c r="D26" s="12" t="inlineStr"/>
    </row>
    <row r="27">
      <c r="A27" t="inlineStr">
        <is>
          <t>Support hires avoided at today's scale</t>
        </is>
      </c>
      <c r="B27" s="14">
        <f>B9-B18</f>
        <v/>
      </c>
      <c r="C27" t="inlineStr">
        <is>
          <t>agents</t>
        </is>
      </c>
      <c r="D27" s="12" t="inlineStr"/>
    </row>
    <row r="28">
      <c r="A28" t="inlineStr">
        <is>
          <t>If customers double: baseline agents</t>
        </is>
      </c>
      <c r="B28" s="14">
        <f>CEILING('1_Guesstimate_Volume'!B16*2/B8,1)</f>
        <v/>
      </c>
      <c r="C28" t="inlineStr">
        <is>
          <t>agents</t>
        </is>
      </c>
      <c r="D28" s="12" t="inlineStr">
        <is>
          <t>Shows the scaling problem from the brief</t>
        </is>
      </c>
    </row>
    <row r="29">
      <c r="A29" t="inlineStr">
        <is>
          <t>If customers double: agents with Co-Pilot</t>
        </is>
      </c>
      <c r="B29" s="14">
        <f>CEILING(B15*2/B17,1)</f>
        <v/>
      </c>
      <c r="C29" t="inlineStr">
        <is>
          <t>agents</t>
        </is>
      </c>
      <c r="D2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8" customWidth="1" min="3" max="3"/>
    <col width="14" customWidth="1" min="4" max="4"/>
    <col width="14" customWidth="1" min="5" max="5"/>
    <col width="22" customWidth="1" min="6" max="6"/>
    <col width="50" customWidth="1" min="7" max="7"/>
  </cols>
  <sheetData>
    <row r="1">
      <c r="A1" s="1" t="inlineStr">
        <is>
          <t>5. Monthly audit - checks and alerts that keep Co-Pilot profitable and honest</t>
        </is>
      </c>
    </row>
    <row r="2">
      <c r="A2" s="2" t="inlineStr">
        <is>
          <t>Column C = this month's value (formula or sample input). Column E = live status formula. Wire the same rules into Metabase/Grafana + Slack.</t>
        </is>
      </c>
    </row>
    <row r="4">
      <c r="A4" s="10" t="inlineStr">
        <is>
          <t>Check</t>
        </is>
      </c>
      <c r="B4" s="10" t="inlineStr">
        <is>
          <t>What it catches</t>
        </is>
      </c>
      <c r="C4" s="10" t="inlineStr">
        <is>
          <t>This month (sample)</t>
        </is>
      </c>
      <c r="D4" s="10" t="inlineStr">
        <is>
          <t>Threshold</t>
        </is>
      </c>
      <c r="E4" s="10" t="inlineStr">
        <is>
          <t>Status</t>
        </is>
      </c>
      <c r="F4" s="10" t="inlineStr">
        <is>
          <t>Owner / cadence</t>
        </is>
      </c>
      <c r="G4" s="10" t="inlineStr">
        <is>
          <t>Action if breached</t>
        </is>
      </c>
    </row>
    <row r="5">
      <c r="A5" s="7" t="inlineStr">
        <is>
          <t>LLM cost per query (₹)</t>
        </is>
      </c>
      <c r="B5" s="26" t="inlineStr">
        <is>
          <t>Prompt bloat, retry loops, router sending too much to Sonnet</t>
        </is>
      </c>
      <c r="C5" s="30">
        <f>'2_AI_Running_Cost'!B27</f>
        <v/>
      </c>
      <c r="D5" s="31" t="n">
        <v>2</v>
      </c>
      <c r="E5" s="7">
        <f>IF(C5&gt;D5,"ALERT","OK")</f>
        <v/>
      </c>
      <c r="F5" t="inlineStr">
        <is>
          <t>Eng - daily</t>
        </is>
      </c>
      <c r="G5" s="26" t="inlineStr">
        <is>
          <t>Check router share + prompt size in Langfuse; roll back last prompt change</t>
        </is>
      </c>
    </row>
    <row r="6">
      <c r="A6" s="7" t="inlineStr">
        <is>
          <t>All-in cost per AI-resolved query (₹)</t>
        </is>
      </c>
      <c r="B6" s="26" t="inlineStr">
        <is>
          <t>Cost rising faster than resolutions</t>
        </is>
      </c>
      <c r="C6" s="30">
        <f>'2_AI_Running_Cost'!B36</f>
        <v/>
      </c>
      <c r="D6" s="31" t="n">
        <v>4</v>
      </c>
      <c r="E6" s="7">
        <f>IF(C6&gt;D6,"ALERT","OK")</f>
        <v/>
      </c>
      <c r="F6" t="inlineStr">
        <is>
          <t>PM - weekly</t>
        </is>
      </c>
      <c r="G6" s="26" t="inlineStr">
        <is>
          <t>Investigate low-resolution intents; cut turns or add deterministic fixes</t>
        </is>
      </c>
    </row>
    <row r="7">
      <c r="A7" s="7" t="inlineStr">
        <is>
          <t>Monthly AI spend vs. budget (₹)</t>
        </is>
      </c>
      <c r="B7" s="26" t="inlineStr">
        <is>
          <t>Overall bill drift</t>
        </is>
      </c>
      <c r="C7" s="32">
        <f>'2_AI_Running_Cost'!B34</f>
        <v/>
      </c>
      <c r="D7" s="33" t="n">
        <v>25000</v>
      </c>
      <c r="E7" s="7">
        <f>IF(C7&gt;D7,"ALERT","OK")</f>
        <v/>
      </c>
      <c r="F7" t="inlineStr">
        <is>
          <t>PM + Finance - monthly</t>
        </is>
      </c>
      <c r="G7" s="26" t="inlineStr">
        <is>
          <t>Freeze new intents until root cause found</t>
        </is>
      </c>
    </row>
    <row r="8">
      <c r="A8" s="7" t="inlineStr">
        <is>
          <t>Max spend by one tenant (₹/mo)</t>
        </is>
      </c>
      <c r="B8" s="26" t="inlineStr">
        <is>
          <t>Loops / abuse by a single business (cap ₹150 or 50 sessions/day)</t>
        </is>
      </c>
      <c r="C8" s="33" t="n">
        <v>45</v>
      </c>
      <c r="D8" s="33" t="n">
        <v>150</v>
      </c>
      <c r="E8" s="7">
        <f>IF(C8&gt;D8,"ALERT","OK")</f>
        <v/>
      </c>
      <c r="F8" t="inlineStr">
        <is>
          <t>Auto - real time</t>
        </is>
      </c>
      <c r="G8" s="26" t="inlineStr">
        <is>
          <t>Auto-throttle tenant to rule-based diagnostics; notify CSM</t>
        </is>
      </c>
    </row>
    <row r="9">
      <c r="A9" s="7" t="inlineStr">
        <is>
          <t>Ghost re-open rate</t>
        </is>
      </c>
      <c r="B9" s="26" t="inlineStr">
        <is>
          <t>AI said 'solved' but user raised a human ticket within 24h</t>
        </is>
      </c>
      <c r="C9" s="34" t="n">
        <v>0.08</v>
      </c>
      <c r="D9" s="34" t="n">
        <v>0.12</v>
      </c>
      <c r="E9" s="7">
        <f>IF(C9&gt;D9,"ALERT","OK")</f>
        <v/>
      </c>
      <c r="F9" t="inlineStr">
        <is>
          <t>PM - weekly</t>
        </is>
      </c>
      <c r="G9" s="26" t="inlineStr">
        <is>
          <t>Pull the intents with highest re-open; fix prompts/playbooks</t>
        </is>
      </c>
    </row>
    <row r="10">
      <c r="A10" s="7" t="inlineStr">
        <is>
          <t>Hallucination rate (50-chat weekly audit)</t>
        </is>
      </c>
      <c r="B10" s="26" t="inlineStr">
        <is>
          <t>Wrong Meta policy advice, invented fixes</t>
        </is>
      </c>
      <c r="C10" s="34" t="n">
        <v>0.006</v>
      </c>
      <c r="D10" s="34" t="n">
        <v>0.01</v>
      </c>
      <c r="E10" s="7">
        <f>IF(C10&gt;D10,"ALERT","OK")</f>
        <v/>
      </c>
      <c r="F10" t="inlineStr">
        <is>
          <t>PM + LLM-judge - weekly</t>
        </is>
      </c>
      <c r="G10" s="26" t="inlineStr">
        <is>
          <t>Block that intent from auto-fix; add doc to RAG; re-test</t>
        </is>
      </c>
    </row>
    <row r="11">
      <c r="A11" s="7" t="inlineStr">
        <is>
          <t>AI self-serve resolution rate</t>
        </is>
      </c>
      <c r="B11" s="26" t="inlineStr">
        <is>
          <t>Deflection falling below plan</t>
        </is>
      </c>
      <c r="C11" s="35">
        <f>'1_Guesstimate_Volume'!B36</f>
        <v/>
      </c>
      <c r="D11" s="34" t="n">
        <v>0.6</v>
      </c>
      <c r="E11" s="7">
        <f>IF(C11&lt;D11,"ALERT","OK")</f>
        <v/>
      </c>
      <c r="F11" t="inlineStr">
        <is>
          <t>PM - weekly</t>
        </is>
      </c>
      <c r="G11" s="26" t="inlineStr">
        <is>
          <t>Review top escalation reasons; add new auto-fix</t>
        </is>
      </c>
    </row>
    <row r="12">
      <c r="A12" s="7" t="inlineStr">
        <is>
          <t>Pro add-on gross margin</t>
        </is>
      </c>
      <c r="B12" s="26" t="inlineStr">
        <is>
          <t>Pricing no longer covers cost</t>
        </is>
      </c>
      <c r="C12" s="35">
        <f>'3_Billing_&amp;_Margins'!B24</f>
        <v/>
      </c>
      <c r="D12" s="34" t="n">
        <v>0.8</v>
      </c>
      <c r="E12" s="7">
        <f>IF(C12&lt;D12,"ALERT","OK")</f>
        <v/>
      </c>
      <c r="F12" t="inlineStr">
        <is>
          <t>Finance - monthly</t>
        </is>
      </c>
      <c r="G12" s="26" t="inlineStr">
        <is>
          <t>Revisit free-fix cap or Pro price</t>
        </is>
      </c>
    </row>
    <row r="13">
      <c r="A13" s="7" t="inlineStr">
        <is>
          <t>Billing reconciliation gap</t>
        </is>
      </c>
      <c r="B13" s="26" t="inlineStr">
        <is>
          <t>Pro users billed vs. Pro entitlements active</t>
        </is>
      </c>
      <c r="C13" s="34" t="n">
        <v>0</v>
      </c>
      <c r="D13" s="34" t="n">
        <v>0.005</v>
      </c>
      <c r="E13" s="7">
        <f>IF(C13&gt;D13,"ALERT","OK")</f>
        <v/>
      </c>
      <c r="F13" t="inlineStr">
        <is>
          <t>Finance - monthly</t>
        </is>
      </c>
      <c r="G13" s="26" t="inlineStr">
        <is>
          <t>Fix entitlement sync; refund/charge diff</t>
        </is>
      </c>
    </row>
    <row r="15">
      <c r="A15" s="7" t="inlineStr">
        <is>
          <t>Alerts firing this month</t>
        </is>
      </c>
      <c r="C15">
        <f>COUNTIF(E5:E13,"ALERT")</f>
        <v/>
      </c>
    </row>
    <row r="17">
      <c r="A17" s="7" t="inlineStr">
        <is>
          <t>Monthly audit ritual (1st working day)</t>
        </is>
      </c>
    </row>
    <row r="18">
      <c r="A18" t="inlineStr">
        <is>
          <t>1. Export usage by tenant from Langfuse -&gt; compare tokens billed by Anthropic invoice vs. our logs (gap &gt; 2% = investigate).</t>
        </is>
      </c>
    </row>
    <row r="19">
      <c r="A19" t="inlineStr">
        <is>
          <t>2. Run this sheet with last month's actuals in column C; every ALERT gets an owner + date in the PM review.</t>
        </is>
      </c>
    </row>
    <row r="20">
      <c r="A20" t="inlineStr">
        <is>
          <t>3. Sample 50 conversations: LLM-as-judge scores them for Meta-policy accuracy, then PM spot-checks 10 by hand.</t>
        </is>
      </c>
    </row>
    <row r="21">
      <c r="A21" t="inlineStr">
        <is>
          <t>4. Check top 10 tenants by spend: are they Pro payers? If a free tenant is in the top 10, review the fair-use cap.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2026-10-15T15:05:05Z</dcterms:created>
  <dcterms:modified xmlns:dcterms="http://purl.org/dc/terms/" xmlns:xsi="http://www.w3.org/2001/XMLSchema-instance" xsi:type="dcterms:W3CDTF">2026-10-15T15:05:05Z</dcterms:modified>
</cp:coreProperties>
</file>